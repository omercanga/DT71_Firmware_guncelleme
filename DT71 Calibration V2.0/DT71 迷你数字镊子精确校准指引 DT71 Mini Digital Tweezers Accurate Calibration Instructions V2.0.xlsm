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.HUAGE-20180511Y\Desktop\"/>
    </mc:Choice>
  </mc:AlternateContent>
  <bookViews>
    <workbookView xWindow="-105" yWindow="-105" windowWidth="23250" windowHeight="12570"/>
  </bookViews>
  <sheets>
    <sheet name="用户校准附表" sheetId="1" r:id="rId1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37" i="1" l="1"/>
  <c r="W36" i="1" s="1"/>
  <c r="V37" i="1"/>
  <c r="U37" i="1"/>
  <c r="U36" i="1" s="1"/>
  <c r="T37" i="1"/>
  <c r="T36" i="1" s="1"/>
  <c r="O26" i="1" s="1"/>
  <c r="S37" i="1"/>
  <c r="S36" i="1" s="1"/>
  <c r="N26" i="1" s="1"/>
  <c r="R37" i="1"/>
  <c r="R36" i="1" s="1"/>
  <c r="M26" i="1" s="1"/>
  <c r="Q37" i="1"/>
  <c r="P37" i="1"/>
  <c r="P36" i="1" s="1"/>
  <c r="K26" i="1" s="1"/>
  <c r="O37" i="1"/>
  <c r="O36" i="1" s="1"/>
  <c r="N37" i="1"/>
  <c r="N36" i="1" s="1"/>
  <c r="M37" i="1"/>
  <c r="M36" i="1" s="1"/>
  <c r="H26" i="1" s="1"/>
  <c r="L37" i="1"/>
  <c r="L36" i="1" s="1"/>
  <c r="G26" i="1" s="1"/>
  <c r="K37" i="1"/>
  <c r="K36" i="1" s="1"/>
  <c r="J37" i="1"/>
  <c r="J36" i="1" s="1"/>
  <c r="D26" i="1" s="1"/>
  <c r="I37" i="1"/>
  <c r="I36" i="1" s="1"/>
  <c r="H37" i="1"/>
  <c r="H36" i="1" s="1"/>
  <c r="G37" i="1"/>
  <c r="G36" i="1" s="1"/>
  <c r="F37" i="1"/>
  <c r="F36" i="1" s="1"/>
  <c r="D19" i="1" s="1"/>
  <c r="E37" i="1"/>
  <c r="E36" i="1" s="1"/>
  <c r="F12" i="1" s="1"/>
  <c r="D37" i="1"/>
  <c r="D36" i="1" s="1"/>
  <c r="C37" i="1"/>
  <c r="C36" i="1" s="1"/>
  <c r="V36" i="1"/>
  <c r="D33" i="1" s="1"/>
  <c r="E12" i="1" l="1"/>
  <c r="J26" i="1"/>
  <c r="I26" i="1"/>
  <c r="F26" i="1"/>
  <c r="D12" i="1"/>
  <c r="C19" i="1"/>
  <c r="C33" i="1"/>
  <c r="E19" i="1"/>
  <c r="F19" i="1"/>
  <c r="E33" i="1"/>
  <c r="Q36" i="1"/>
  <c r="L26" i="1" s="1"/>
  <c r="C26" i="1"/>
  <c r="F33" i="1"/>
  <c r="E26" i="1"/>
  <c r="C12" i="1"/>
</calcChain>
</file>

<file path=xl/sharedStrings.xml><?xml version="1.0" encoding="utf-8"?>
<sst xmlns="http://schemas.openxmlformats.org/spreadsheetml/2006/main" count="130" uniqueCount="88">
  <si>
    <t>原校准参数  Original Calibration Parameters</t>
  </si>
  <si>
    <t>LV</t>
  </si>
  <si>
    <t>MV</t>
  </si>
  <si>
    <t>HV</t>
  </si>
  <si>
    <t>RL</t>
  </si>
  <si>
    <t>RM</t>
  </si>
  <si>
    <t>RH</t>
  </si>
  <si>
    <t>CX1</t>
  </si>
  <si>
    <t>CX2</t>
  </si>
  <si>
    <t>CX3</t>
  </si>
  <si>
    <t>CX4</t>
  </si>
  <si>
    <t>CX5</t>
  </si>
  <si>
    <t>CX6</t>
  </si>
  <si>
    <t>CX7</t>
  </si>
  <si>
    <t>CX8</t>
  </si>
  <si>
    <t>CX9</t>
  </si>
  <si>
    <t>CX10</t>
  </si>
  <si>
    <t>CH1</t>
  </si>
  <si>
    <t>CH2</t>
  </si>
  <si>
    <t>LX1</t>
  </si>
  <si>
    <t>LX2</t>
  </si>
  <si>
    <t>LX3</t>
  </si>
  <si>
    <t>LX4</t>
  </si>
  <si>
    <t>LX5</t>
  </si>
  <si>
    <t>LX6</t>
  </si>
  <si>
    <t>CALRB_K0=</t>
  </si>
  <si>
    <t>CALRB_K1=</t>
  </si>
  <si>
    <t>单位 Unit：mV</t>
  </si>
  <si>
    <t>电压  Voltage</t>
  </si>
  <si>
    <t>额定值 Rated Value</t>
  </si>
  <si>
    <t>5mV</t>
  </si>
  <si>
    <t>0.37V</t>
  </si>
  <si>
    <t>4.4V</t>
  </si>
  <si>
    <t>40V</t>
  </si>
  <si>
    <t>实际值 Actual Value</t>
  </si>
  <si>
    <t>测量值 Measured Value</t>
  </si>
  <si>
    <t>验证  Verify</t>
  </si>
  <si>
    <t>校准后 After Calibration</t>
  </si>
  <si>
    <t>电阻 Resistance</t>
  </si>
  <si>
    <t>0Ω</t>
  </si>
  <si>
    <t>10KΩ</t>
  </si>
  <si>
    <t>1MΩ</t>
  </si>
  <si>
    <t>单位 Unit：pF</t>
  </si>
  <si>
    <t>电容 Capacitance</t>
  </si>
  <si>
    <t>1pF</t>
  </si>
  <si>
    <t>10pF</t>
  </si>
  <si>
    <t>50pF</t>
  </si>
  <si>
    <t>100pF</t>
  </si>
  <si>
    <t>300pF</t>
  </si>
  <si>
    <t>1nF</t>
  </si>
  <si>
    <t>3nF</t>
  </si>
  <si>
    <t>10nF</t>
  </si>
  <si>
    <t>100nF</t>
  </si>
  <si>
    <t>1uF</t>
  </si>
  <si>
    <t>10uF</t>
  </si>
  <si>
    <t>100uF</t>
  </si>
  <si>
    <t>400uF</t>
  </si>
  <si>
    <t>单位 Unit：uH</t>
  </si>
  <si>
    <t>电感 Inductance</t>
  </si>
  <si>
    <t>1uH</t>
  </si>
  <si>
    <t>2.2mH</t>
  </si>
  <si>
    <t>22mH</t>
  </si>
  <si>
    <t>47mH</t>
  </si>
  <si>
    <t>新校准参数 New Calibration Parameters</t>
  </si>
  <si>
    <t>颜色 Color</t>
  </si>
  <si>
    <t>数据说明 Data Explanation</t>
  </si>
  <si>
    <t>CAL.INI文件原校准参数                                      CAL.INI file original calibration parameters</t>
  </si>
  <si>
    <t>校准额定值                                                Calibration rated value</t>
  </si>
  <si>
    <t>实际值（可根据实际测量修改，尽可能接近额定值）   Actual value (can be modified according to actual measurement, as close as possible to rated value)</t>
  </si>
  <si>
    <t>DT71测量值                                                          DT71 measured value</t>
  </si>
  <si>
    <t>校准后替换CAL.INI文件原校准参数                  Replace the original calibration parameters of the CAL.INI file after calibration</t>
  </si>
  <si>
    <t>预留参数，修改无效                                     Reserved parameters, modification is invalid</t>
  </si>
  <si>
    <t>使用说明：</t>
  </si>
  <si>
    <t>Instructions for use:</t>
  </si>
  <si>
    <t xml:space="preserve">  </t>
    <phoneticPr fontId="3" type="noConversion"/>
  </si>
  <si>
    <t>1、DT71连接电脑进入DFU模式，将DFU磁盘中的CAL.INI文件与本文件拷贝到电脑的同一个目录下；</t>
    <phoneticPr fontId="3" type="noConversion"/>
  </si>
  <si>
    <t>2、使用Office Excel软件打开本文件，在安全警告提示中启用宏（重要!）；</t>
    <phoneticPr fontId="3" type="noConversion"/>
  </si>
  <si>
    <t>3、根据实际测量结果填入相应元器件的实际值、测量值（注意单位换算）；</t>
    <phoneticPr fontId="3" type="noConversion"/>
  </si>
  <si>
    <t>4、保存本文件，系统将自动生成新的CAL.INI文件；</t>
    <phoneticPr fontId="3" type="noConversion"/>
  </si>
  <si>
    <t xml:space="preserve">5、将新的CAL.INI文件拷贝至DT71的DFU磁盘中覆盖原有文件，完成校准。 </t>
    <phoneticPr fontId="3" type="noConversion"/>
  </si>
  <si>
    <t>1.Connect DT71 with computer to enters DFU mode, copy the CAL.INI file in the DFU disk and this file to the same directory on computer;</t>
    <phoneticPr fontId="3" type="noConversion"/>
  </si>
  <si>
    <t>2.Open this file with Office Excel and enable macros in the security warning prompt(important!);</t>
    <phoneticPr fontId="3" type="noConversion"/>
  </si>
  <si>
    <t>3.Fill in the actual values and measured values of the components according to the actual measuring (pay attention to the unit conversion);</t>
    <phoneticPr fontId="3" type="noConversion"/>
  </si>
  <si>
    <t>4.Save this file, and a new CAL.INI file will be automatically generated;</t>
    <phoneticPr fontId="3" type="noConversion"/>
  </si>
  <si>
    <t>5.Copy the new CAL.INI file to the DFU disk of DT71 to overwrite the original file to complete the calibration.</t>
    <phoneticPr fontId="3" type="noConversion"/>
  </si>
  <si>
    <t>DT71 迷你数字镊子精确校准指引 V2.0    DT71 Mini Digital Tweezers Accurate Calibration Instructions V2.0</t>
    <phoneticPr fontId="3" type="noConversion"/>
  </si>
  <si>
    <t>100Ω</t>
    <phoneticPr fontId="3" type="noConversion"/>
  </si>
  <si>
    <t>单位 Unit：Ω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</si>
</sst>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_ "/>
    <numFmt numFmtId="177" formatCode="#,##0.000_ "/>
  </numFmts>
  <fonts count="5" x14ac:knownFonts="1">
    <font>
      <sz val="12"/>
      <name val="宋体"/>
      <charset val="134"/>
    </font>
    <font>
      <sz val="12"/>
      <name val="微软雅黑"/>
      <charset val="134"/>
    </font>
    <font>
      <b/>
      <sz val="16"/>
      <name val="微软雅黑"/>
      <charset val="134"/>
    </font>
    <font>
      <sz val="9"/>
      <name val="宋体"/>
      <charset val="134"/>
    </font>
    <font>
      <sz val="12"/>
      <name val="微软雅黑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145481734672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7FC7E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1">
    <xf numFmtId="0" fontId="0" fillId="0" borderId="0"/>
  </cellStyleXfs>
  <cellXfs count="61">
    <xf numFmtId="0" fontId="0" fillId="0" borderId="0" xfId="0"/>
    <xf numFmtId="176" fontId="1" fillId="0" borderId="0" xfId="0" applyNumberFormat="1" applyFont="1" applyAlignment="1" applyProtection="1">
      <alignment horizontal="center" vertical="center"/>
    </xf>
    <xf numFmtId="176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0" borderId="3" xfId="0" applyFont="1" applyBorder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176" fontId="1" fillId="4" borderId="0" xfId="0" applyNumberFormat="1" applyFont="1" applyFill="1" applyAlignment="1" applyProtection="1">
      <alignment horizontal="center" vertical="center"/>
    </xf>
    <xf numFmtId="176" fontId="1" fillId="5" borderId="0" xfId="0" applyNumberFormat="1" applyFont="1" applyFill="1" applyAlignment="1" applyProtection="1">
      <alignment horizontal="center" vertical="center"/>
    </xf>
    <xf numFmtId="177" fontId="1" fillId="6" borderId="0" xfId="0" applyNumberFormat="1" applyFont="1" applyFill="1" applyAlignment="1" applyProtection="1">
      <alignment horizontal="center" vertical="center"/>
    </xf>
    <xf numFmtId="0" fontId="1" fillId="0" borderId="4" xfId="0" applyFont="1" applyBorder="1" applyAlignment="1" applyProtection="1">
      <alignment horizontal="center" vertical="center"/>
    </xf>
    <xf numFmtId="0" fontId="1" fillId="0" borderId="20" xfId="0" applyFont="1" applyBorder="1" applyAlignment="1" applyProtection="1">
      <alignment horizontal="center" vertical="center"/>
    </xf>
    <xf numFmtId="0" fontId="1" fillId="0" borderId="16" xfId="0" applyFont="1" applyBorder="1" applyAlignment="1" applyProtection="1">
      <alignment horizontal="center" vertical="center"/>
    </xf>
    <xf numFmtId="0" fontId="1" fillId="0" borderId="0" xfId="0" applyFont="1" applyAlignment="1" applyProtection="1">
      <alignment vertical="center"/>
    </xf>
    <xf numFmtId="0" fontId="1" fillId="7" borderId="0" xfId="0" applyFont="1" applyFill="1" applyAlignment="1" applyProtection="1">
      <alignment horizontal="center" vertical="center"/>
    </xf>
    <xf numFmtId="0" fontId="1" fillId="0" borderId="19" xfId="0" applyFont="1" applyBorder="1" applyAlignment="1" applyProtection="1">
      <alignment horizontal="center" vertical="center"/>
    </xf>
    <xf numFmtId="0" fontId="1" fillId="7" borderId="19" xfId="0" applyFont="1" applyFill="1" applyBorder="1" applyAlignment="1" applyProtection="1">
      <alignment horizontal="center" vertical="center"/>
    </xf>
    <xf numFmtId="176" fontId="1" fillId="0" borderId="19" xfId="0" applyNumberFormat="1" applyFont="1" applyBorder="1" applyAlignment="1" applyProtection="1">
      <alignment horizontal="center" vertical="center"/>
    </xf>
    <xf numFmtId="176" fontId="1" fillId="0" borderId="19" xfId="0" applyNumberFormat="1" applyFont="1" applyFill="1" applyBorder="1" applyAlignment="1" applyProtection="1">
      <alignment horizontal="center" vertical="center"/>
    </xf>
    <xf numFmtId="0" fontId="1" fillId="0" borderId="17" xfId="0" applyFont="1" applyBorder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4" fillId="3" borderId="0" xfId="0" applyFont="1" applyFill="1" applyAlignment="1" applyProtection="1">
      <alignment horizontal="center" vertical="center"/>
    </xf>
    <xf numFmtId="177" fontId="1" fillId="2" borderId="0" xfId="0" applyNumberFormat="1" applyFont="1" applyFill="1" applyAlignment="1" applyProtection="1">
      <alignment horizontal="center" vertical="center"/>
    </xf>
    <xf numFmtId="177" fontId="1" fillId="6" borderId="7" xfId="0" applyNumberFormat="1" applyFont="1" applyFill="1" applyBorder="1" applyAlignment="1" applyProtection="1">
      <alignment horizontal="center" vertical="center"/>
    </xf>
    <xf numFmtId="0" fontId="1" fillId="7" borderId="7" xfId="0" applyFont="1" applyFill="1" applyBorder="1" applyAlignment="1" applyProtection="1">
      <alignment horizontal="center" vertical="center"/>
    </xf>
    <xf numFmtId="0" fontId="1" fillId="7" borderId="14" xfId="0" applyFont="1" applyFill="1" applyBorder="1" applyAlignment="1" applyProtection="1">
      <alignment horizontal="center" vertical="center"/>
    </xf>
    <xf numFmtId="0" fontId="1" fillId="0" borderId="8" xfId="0" applyFont="1" applyBorder="1" applyAlignment="1" applyProtection="1">
      <alignment horizontal="center" vertical="center" wrapText="1"/>
    </xf>
    <xf numFmtId="0" fontId="1" fillId="0" borderId="9" xfId="0" applyFont="1" applyBorder="1" applyAlignment="1" applyProtection="1">
      <alignment horizontal="center" vertical="center" wrapText="1"/>
    </xf>
    <xf numFmtId="0" fontId="1" fillId="0" borderId="10" xfId="0" applyFont="1" applyBorder="1" applyAlignment="1" applyProtection="1">
      <alignment horizontal="center" vertical="center" wrapText="1"/>
    </xf>
    <xf numFmtId="0" fontId="1" fillId="0" borderId="11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1" fillId="0" borderId="13" xfId="0" applyFont="1" applyBorder="1" applyAlignment="1" applyProtection="1">
      <alignment horizontal="center" vertical="center" wrapText="1"/>
    </xf>
    <xf numFmtId="0" fontId="1" fillId="0" borderId="15" xfId="0" applyFont="1" applyBorder="1" applyAlignment="1" applyProtection="1">
      <alignment horizontal="center" vertical="center" wrapText="1"/>
    </xf>
    <xf numFmtId="0" fontId="1" fillId="0" borderId="16" xfId="0" applyFont="1" applyBorder="1" applyAlignment="1" applyProtection="1">
      <alignment horizontal="center" vertical="center" wrapText="1"/>
    </xf>
    <xf numFmtId="0" fontId="1" fillId="0" borderId="17" xfId="0" applyFont="1" applyBorder="1" applyAlignment="1" applyProtection="1">
      <alignment horizontal="center" vertical="center" wrapText="1"/>
    </xf>
    <xf numFmtId="0" fontId="1" fillId="0" borderId="3" xfId="0" applyFont="1" applyBorder="1" applyAlignment="1" applyProtection="1">
      <alignment horizontal="center" vertical="center" wrapText="1"/>
    </xf>
    <xf numFmtId="0" fontId="1" fillId="2" borderId="7" xfId="0" applyFont="1" applyFill="1" applyBorder="1" applyAlignment="1" applyProtection="1">
      <alignment horizontal="center" vertical="center"/>
    </xf>
    <xf numFmtId="0" fontId="1" fillId="3" borderId="7" xfId="0" applyFont="1" applyFill="1" applyBorder="1" applyAlignment="1" applyProtection="1">
      <alignment horizontal="center" vertical="center"/>
    </xf>
    <xf numFmtId="176" fontId="1" fillId="4" borderId="7" xfId="0" applyNumberFormat="1" applyFont="1" applyFill="1" applyBorder="1" applyAlignment="1" applyProtection="1">
      <alignment horizontal="center" vertical="center"/>
    </xf>
    <xf numFmtId="176" fontId="1" fillId="5" borderId="7" xfId="0" applyNumberFormat="1" applyFont="1" applyFill="1" applyBorder="1" applyAlignment="1" applyProtection="1">
      <alignment horizontal="center" vertical="center"/>
    </xf>
    <xf numFmtId="0" fontId="1" fillId="0" borderId="20" xfId="0" applyFont="1" applyBorder="1" applyAlignment="1" applyProtection="1">
      <alignment horizontal="left" vertical="center"/>
    </xf>
    <xf numFmtId="0" fontId="1" fillId="0" borderId="16" xfId="0" applyFont="1" applyBorder="1" applyAlignment="1" applyProtection="1">
      <alignment horizontal="left" vertical="center"/>
    </xf>
    <xf numFmtId="0" fontId="1" fillId="0" borderId="17" xfId="0" applyFont="1" applyBorder="1" applyAlignment="1" applyProtection="1">
      <alignment horizontal="left" vertical="center"/>
    </xf>
    <xf numFmtId="0" fontId="1" fillId="0" borderId="3" xfId="0" applyFont="1" applyBorder="1" applyAlignment="1" applyProtection="1">
      <alignment horizontal="left" vertical="center"/>
    </xf>
    <xf numFmtId="0" fontId="1" fillId="0" borderId="0" xfId="0" applyFont="1" applyBorder="1" applyAlignment="1" applyProtection="1">
      <alignment horizontal="left" vertical="center"/>
    </xf>
    <xf numFmtId="0" fontId="1" fillId="0" borderId="19" xfId="0" applyFont="1" applyBorder="1" applyAlignment="1" applyProtection="1">
      <alignment horizontal="left" vertical="center"/>
    </xf>
    <xf numFmtId="0" fontId="2" fillId="0" borderId="1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0" borderId="18" xfId="0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19" xfId="0" applyFont="1" applyBorder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1" fillId="0" borderId="5" xfId="0" applyFont="1" applyBorder="1" applyAlignment="1" applyProtection="1">
      <alignment horizontal="center" vertical="center"/>
    </xf>
    <xf numFmtId="0" fontId="1" fillId="0" borderId="6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left" vertical="center"/>
    </xf>
    <xf numFmtId="0" fontId="1" fillId="0" borderId="2" xfId="0" applyFont="1" applyBorder="1" applyAlignment="1" applyProtection="1">
      <alignment horizontal="left" vertical="center"/>
    </xf>
    <xf numFmtId="0" fontId="1" fillId="0" borderId="18" xfId="0" applyFont="1" applyBorder="1" applyAlignment="1" applyProtection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C4C3D5"/>
      <color rgb="FF7E719F"/>
      <color rgb="FFF7FC7E"/>
      <color rgb="FFFF6C0D"/>
      <color rgb="FFF433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60"/>
  <sheetViews>
    <sheetView tabSelected="1" topLeftCell="B1" zoomScale="70" zoomScaleNormal="70" workbookViewId="0">
      <selection activeCell="G14" sqref="G14"/>
    </sheetView>
  </sheetViews>
  <sheetFormatPr defaultColWidth="9" defaultRowHeight="17.25" x14ac:dyDescent="0.15"/>
  <cols>
    <col min="1" max="1" width="12.75" style="3" customWidth="1"/>
    <col min="2" max="2" width="24.125" style="3" customWidth="1"/>
    <col min="3" max="4" width="12.625" style="3"/>
    <col min="5" max="5" width="9.375" style="3"/>
    <col min="6" max="7" width="11.5" style="3"/>
    <col min="8" max="8" width="12.625" style="3"/>
    <col min="9" max="9" width="10.625" style="3" customWidth="1"/>
    <col min="10" max="11" width="11.5" style="3"/>
    <col min="12" max="12" width="12.625" style="3"/>
    <col min="13" max="14" width="12.625" style="3" customWidth="1"/>
    <col min="15" max="15" width="13.75" style="3"/>
    <col min="16" max="16" width="12.625" style="3"/>
    <col min="17" max="18" width="13.75" style="3"/>
    <col min="19" max="19" width="17" style="3" customWidth="1"/>
    <col min="20" max="20" width="17.5" style="3" customWidth="1"/>
    <col min="21" max="21" width="9" style="3"/>
    <col min="22" max="22" width="12" style="3" customWidth="1"/>
    <col min="23" max="23" width="11.5" style="3"/>
    <col min="24" max="16384" width="9" style="3"/>
  </cols>
  <sheetData>
    <row r="1" spans="1:27" x14ac:dyDescent="0.15">
      <c r="A1" s="48" t="s">
        <v>85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50"/>
    </row>
    <row r="2" spans="1:27" x14ac:dyDescent="0.15">
      <c r="A2" s="51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3"/>
    </row>
    <row r="3" spans="1:27" x14ac:dyDescent="0.15">
      <c r="A3" s="37" t="s">
        <v>0</v>
      </c>
      <c r="B3" s="22"/>
      <c r="C3" s="22" t="s">
        <v>1</v>
      </c>
      <c r="D3" s="22" t="s">
        <v>2</v>
      </c>
      <c r="E3" s="22" t="s">
        <v>3</v>
      </c>
      <c r="F3" s="22" t="s">
        <v>4</v>
      </c>
      <c r="G3" s="22" t="s">
        <v>5</v>
      </c>
      <c r="H3" s="22" t="s">
        <v>6</v>
      </c>
      <c r="I3" s="22" t="s">
        <v>7</v>
      </c>
      <c r="J3" s="22" t="s">
        <v>8</v>
      </c>
      <c r="K3" s="22" t="s">
        <v>9</v>
      </c>
      <c r="L3" s="22" t="s">
        <v>10</v>
      </c>
      <c r="M3" s="22" t="s">
        <v>11</v>
      </c>
      <c r="N3" s="22" t="s">
        <v>12</v>
      </c>
      <c r="O3" s="22" t="s">
        <v>13</v>
      </c>
      <c r="P3" s="22" t="s">
        <v>14</v>
      </c>
      <c r="Q3" s="22" t="s">
        <v>15</v>
      </c>
      <c r="R3" s="22" t="s">
        <v>16</v>
      </c>
      <c r="S3" s="22" t="s">
        <v>17</v>
      </c>
      <c r="T3" s="22" t="s">
        <v>18</v>
      </c>
      <c r="U3" s="22" t="s">
        <v>19</v>
      </c>
      <c r="V3" s="22" t="s">
        <v>20</v>
      </c>
      <c r="W3" s="22" t="s">
        <v>21</v>
      </c>
      <c r="X3" s="22" t="s">
        <v>22</v>
      </c>
      <c r="Y3" s="22" t="s">
        <v>23</v>
      </c>
      <c r="Z3" s="15" t="s">
        <v>24</v>
      </c>
    </row>
    <row r="4" spans="1:27" ht="28.9" customHeight="1" x14ac:dyDescent="0.15">
      <c r="A4" s="37"/>
      <c r="B4" s="22" t="s">
        <v>25</v>
      </c>
      <c r="C4" s="4">
        <v>3.36</v>
      </c>
      <c r="D4" s="4">
        <v>24.37</v>
      </c>
      <c r="E4" s="4">
        <v>273.25</v>
      </c>
      <c r="F4" s="4">
        <v>-12.72</v>
      </c>
      <c r="G4" s="24">
        <v>-8.85</v>
      </c>
      <c r="H4" s="4">
        <v>-688.01</v>
      </c>
      <c r="I4" s="4">
        <v>-4.9000000000000004</v>
      </c>
      <c r="J4" s="4">
        <v>-5.99</v>
      </c>
      <c r="K4" s="4">
        <v>-20.96</v>
      </c>
      <c r="L4" s="4">
        <v>-2.6</v>
      </c>
      <c r="M4" s="4">
        <v>-11.34</v>
      </c>
      <c r="N4" s="4">
        <v>-10.18</v>
      </c>
      <c r="O4" s="4">
        <v>-49.66</v>
      </c>
      <c r="P4" s="4">
        <v>21.72</v>
      </c>
      <c r="Q4" s="4">
        <v>4425.67</v>
      </c>
      <c r="R4" s="4">
        <v>-93556.508000000002</v>
      </c>
      <c r="S4" s="4">
        <v>420479.96899999998</v>
      </c>
      <c r="T4" s="4">
        <v>26107918</v>
      </c>
      <c r="U4" s="4">
        <v>0</v>
      </c>
      <c r="V4" s="4">
        <v>0</v>
      </c>
      <c r="W4" s="4">
        <v>0</v>
      </c>
      <c r="X4" s="14">
        <v>0</v>
      </c>
      <c r="Y4" s="14">
        <v>0</v>
      </c>
      <c r="Z4" s="16">
        <v>0</v>
      </c>
      <c r="AA4" s="21" t="s">
        <v>74</v>
      </c>
    </row>
    <row r="5" spans="1:27" ht="28.9" customHeight="1" x14ac:dyDescent="0.15">
      <c r="A5" s="37"/>
      <c r="B5" s="22" t="s">
        <v>26</v>
      </c>
      <c r="C5" s="4">
        <v>1.05</v>
      </c>
      <c r="D5" s="4">
        <v>0.99</v>
      </c>
      <c r="E5" s="4">
        <v>0.96</v>
      </c>
      <c r="F5" s="4">
        <v>0.96</v>
      </c>
      <c r="G5" s="4">
        <v>0.93</v>
      </c>
      <c r="H5" s="4">
        <v>1.02</v>
      </c>
      <c r="I5" s="4">
        <v>0.87</v>
      </c>
      <c r="J5" s="4">
        <v>0.88</v>
      </c>
      <c r="K5" s="4">
        <v>1.19</v>
      </c>
      <c r="L5" s="4">
        <v>0.97</v>
      </c>
      <c r="M5" s="4">
        <v>1</v>
      </c>
      <c r="N5" s="4">
        <v>1</v>
      </c>
      <c r="O5" s="4">
        <v>1.01</v>
      </c>
      <c r="P5" s="4">
        <v>1</v>
      </c>
      <c r="Q5" s="4">
        <v>0.96</v>
      </c>
      <c r="R5" s="4">
        <v>1.06</v>
      </c>
      <c r="S5" s="4">
        <v>1.1100000000000001</v>
      </c>
      <c r="T5" s="4">
        <v>0.82</v>
      </c>
      <c r="U5" s="4">
        <v>1</v>
      </c>
      <c r="V5" s="4">
        <v>1</v>
      </c>
      <c r="W5" s="4">
        <v>1</v>
      </c>
      <c r="X5" s="14">
        <v>1</v>
      </c>
      <c r="Y5" s="14">
        <v>1</v>
      </c>
      <c r="Z5" s="16">
        <v>1</v>
      </c>
      <c r="AA5" s="21" t="s">
        <v>74</v>
      </c>
    </row>
    <row r="6" spans="1:27" x14ac:dyDescent="0.15">
      <c r="A6" s="5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15"/>
    </row>
    <row r="7" spans="1:27" x14ac:dyDescent="0.15">
      <c r="A7" s="5"/>
      <c r="B7" s="22"/>
      <c r="C7" s="54" t="s">
        <v>27</v>
      </c>
      <c r="D7" s="54"/>
      <c r="E7" s="54"/>
      <c r="F7" s="54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15"/>
    </row>
    <row r="8" spans="1:27" x14ac:dyDescent="0.15">
      <c r="A8" s="37" t="s">
        <v>28</v>
      </c>
      <c r="B8" s="3" t="s">
        <v>29</v>
      </c>
      <c r="C8" s="6" t="s">
        <v>30</v>
      </c>
      <c r="D8" s="6" t="s">
        <v>31</v>
      </c>
      <c r="E8" s="6" t="s">
        <v>32</v>
      </c>
      <c r="F8" s="6" t="s">
        <v>33</v>
      </c>
      <c r="J8" s="13"/>
      <c r="Z8" s="15"/>
    </row>
    <row r="9" spans="1:27" x14ac:dyDescent="0.15">
      <c r="A9" s="37"/>
      <c r="B9" s="3" t="s">
        <v>34</v>
      </c>
      <c r="C9" s="7">
        <v>5</v>
      </c>
      <c r="D9" s="7">
        <v>370</v>
      </c>
      <c r="E9" s="7">
        <v>4400</v>
      </c>
      <c r="F9" s="7">
        <v>40000</v>
      </c>
      <c r="Z9" s="15"/>
    </row>
    <row r="10" spans="1:27" x14ac:dyDescent="0.15">
      <c r="A10" s="37"/>
      <c r="B10" s="3" t="s">
        <v>35</v>
      </c>
      <c r="C10" s="8">
        <v>5</v>
      </c>
      <c r="D10" s="8">
        <v>370</v>
      </c>
      <c r="E10" s="8">
        <v>4400</v>
      </c>
      <c r="F10" s="8">
        <v>40000</v>
      </c>
      <c r="Z10" s="15"/>
    </row>
    <row r="11" spans="1:27" x14ac:dyDescent="0.15">
      <c r="A11" s="37" t="s">
        <v>36</v>
      </c>
      <c r="D11" s="1"/>
      <c r="E11" s="1"/>
      <c r="F11" s="1"/>
      <c r="Z11" s="15"/>
    </row>
    <row r="12" spans="1:27" x14ac:dyDescent="0.15">
      <c r="A12" s="37"/>
      <c r="B12" s="3" t="s">
        <v>37</v>
      </c>
      <c r="C12" s="2">
        <f>(C10-C4)/C5*C37+C36</f>
        <v>5</v>
      </c>
      <c r="D12" s="2">
        <f>(D10-C4)/C5*C37+C36</f>
        <v>370</v>
      </c>
      <c r="E12" s="2">
        <f>(E10-D4)/D5*D37+D36</f>
        <v>4400</v>
      </c>
      <c r="F12" s="2">
        <f>(F10-E4)/E5*E37+E36</f>
        <v>40000</v>
      </c>
      <c r="Z12" s="15"/>
    </row>
    <row r="13" spans="1:27" x14ac:dyDescent="0.15">
      <c r="A13" s="5"/>
      <c r="C13" s="2"/>
      <c r="D13" s="2"/>
      <c r="E13" s="2"/>
      <c r="F13" s="2"/>
      <c r="Z13" s="15"/>
    </row>
    <row r="14" spans="1:27" x14ac:dyDescent="0.15">
      <c r="A14" s="5"/>
      <c r="C14" s="55" t="s">
        <v>87</v>
      </c>
      <c r="D14" s="54"/>
      <c r="E14" s="54"/>
      <c r="F14" s="54"/>
      <c r="Z14" s="15"/>
    </row>
    <row r="15" spans="1:27" x14ac:dyDescent="0.15">
      <c r="A15" s="37" t="s">
        <v>38</v>
      </c>
      <c r="B15" s="3" t="s">
        <v>29</v>
      </c>
      <c r="C15" s="6" t="s">
        <v>39</v>
      </c>
      <c r="D15" s="23" t="s">
        <v>86</v>
      </c>
      <c r="E15" s="6" t="s">
        <v>40</v>
      </c>
      <c r="F15" s="6" t="s">
        <v>41</v>
      </c>
      <c r="Z15" s="15"/>
    </row>
    <row r="16" spans="1:27" x14ac:dyDescent="0.15">
      <c r="A16" s="37"/>
      <c r="B16" s="3" t="s">
        <v>34</v>
      </c>
      <c r="C16" s="7">
        <v>0</v>
      </c>
      <c r="D16" s="7">
        <v>100</v>
      </c>
      <c r="E16" s="7">
        <v>10000</v>
      </c>
      <c r="F16" s="7">
        <v>1000000</v>
      </c>
      <c r="Z16" s="15"/>
    </row>
    <row r="17" spans="1:26" x14ac:dyDescent="0.15">
      <c r="A17" s="37"/>
      <c r="B17" s="3" t="s">
        <v>35</v>
      </c>
      <c r="C17" s="8">
        <v>0</v>
      </c>
      <c r="D17" s="8">
        <v>100</v>
      </c>
      <c r="E17" s="8">
        <v>10000</v>
      </c>
      <c r="F17" s="8">
        <v>1000000</v>
      </c>
      <c r="Z17" s="15"/>
    </row>
    <row r="18" spans="1:26" x14ac:dyDescent="0.15">
      <c r="A18" s="37" t="s">
        <v>36</v>
      </c>
      <c r="C18" s="2"/>
      <c r="D18" s="2"/>
      <c r="E18" s="2"/>
      <c r="F18" s="2"/>
      <c r="Z18" s="15"/>
    </row>
    <row r="19" spans="1:26" x14ac:dyDescent="0.15">
      <c r="A19" s="37"/>
      <c r="B19" s="3" t="s">
        <v>37</v>
      </c>
      <c r="C19" s="1">
        <f>(C17-F4)/F5*F37+F36</f>
        <v>0</v>
      </c>
      <c r="D19" s="1">
        <f>(D17-F4)/F5*F37+F36</f>
        <v>100</v>
      </c>
      <c r="E19" s="1">
        <f>(E17-G4)/G5*G37+G36</f>
        <v>10000</v>
      </c>
      <c r="F19" s="1">
        <f>(F17-H4)/H5*H37+H36</f>
        <v>1000000</v>
      </c>
      <c r="Z19" s="15"/>
    </row>
    <row r="20" spans="1:26" x14ac:dyDescent="0.15">
      <c r="A20" s="5"/>
      <c r="Z20" s="15"/>
    </row>
    <row r="21" spans="1:26" x14ac:dyDescent="0.15">
      <c r="A21" s="5"/>
      <c r="C21" s="54" t="s">
        <v>42</v>
      </c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Z21" s="15"/>
    </row>
    <row r="22" spans="1:26" x14ac:dyDescent="0.15">
      <c r="A22" s="37" t="s">
        <v>43</v>
      </c>
      <c r="B22" s="3" t="s">
        <v>29</v>
      </c>
      <c r="C22" s="6" t="s">
        <v>44</v>
      </c>
      <c r="D22" s="6" t="s">
        <v>45</v>
      </c>
      <c r="E22" s="6" t="s">
        <v>46</v>
      </c>
      <c r="F22" s="6" t="s">
        <v>47</v>
      </c>
      <c r="G22" s="6" t="s">
        <v>48</v>
      </c>
      <c r="H22" s="6" t="s">
        <v>49</v>
      </c>
      <c r="I22" s="6" t="s">
        <v>50</v>
      </c>
      <c r="J22" s="6" t="s">
        <v>51</v>
      </c>
      <c r="K22" s="6" t="s">
        <v>52</v>
      </c>
      <c r="L22" s="6" t="s">
        <v>53</v>
      </c>
      <c r="M22" s="6" t="s">
        <v>54</v>
      </c>
      <c r="N22" s="6" t="s">
        <v>55</v>
      </c>
      <c r="O22" s="6" t="s">
        <v>56</v>
      </c>
      <c r="Z22" s="15"/>
    </row>
    <row r="23" spans="1:26" s="1" customFormat="1" x14ac:dyDescent="0.15">
      <c r="A23" s="37"/>
      <c r="B23" s="3" t="s">
        <v>34</v>
      </c>
      <c r="C23" s="7">
        <v>1</v>
      </c>
      <c r="D23" s="7">
        <v>10</v>
      </c>
      <c r="E23" s="7">
        <v>50</v>
      </c>
      <c r="F23" s="7">
        <v>100</v>
      </c>
      <c r="G23" s="7">
        <v>300</v>
      </c>
      <c r="H23" s="7">
        <v>1000</v>
      </c>
      <c r="I23" s="7">
        <v>3000</v>
      </c>
      <c r="J23" s="7">
        <v>10000</v>
      </c>
      <c r="K23" s="7">
        <v>100000</v>
      </c>
      <c r="L23" s="7">
        <v>1000000</v>
      </c>
      <c r="M23" s="7">
        <v>10000000</v>
      </c>
      <c r="N23" s="7">
        <v>100000000</v>
      </c>
      <c r="O23" s="7">
        <v>400000000</v>
      </c>
      <c r="Z23" s="17"/>
    </row>
    <row r="24" spans="1:26" s="1" customFormat="1" x14ac:dyDescent="0.15">
      <c r="A24" s="37"/>
      <c r="B24" s="3" t="s">
        <v>35</v>
      </c>
      <c r="C24" s="8">
        <v>1</v>
      </c>
      <c r="D24" s="8">
        <v>10</v>
      </c>
      <c r="E24" s="8">
        <v>50</v>
      </c>
      <c r="F24" s="8">
        <v>100</v>
      </c>
      <c r="G24" s="8">
        <v>300</v>
      </c>
      <c r="H24" s="8">
        <v>1000</v>
      </c>
      <c r="I24" s="8">
        <v>3000</v>
      </c>
      <c r="J24" s="8">
        <v>10000</v>
      </c>
      <c r="K24" s="8">
        <v>100000</v>
      </c>
      <c r="L24" s="8">
        <v>1000000</v>
      </c>
      <c r="M24" s="8">
        <v>10000000</v>
      </c>
      <c r="N24" s="8">
        <v>100000000</v>
      </c>
      <c r="O24" s="8">
        <v>400000000</v>
      </c>
      <c r="Z24" s="17"/>
    </row>
    <row r="25" spans="1:26" s="2" customFormat="1" x14ac:dyDescent="0.15">
      <c r="A25" s="37" t="s">
        <v>36</v>
      </c>
      <c r="B25" s="3"/>
      <c r="Z25" s="18"/>
    </row>
    <row r="26" spans="1:26" x14ac:dyDescent="0.15">
      <c r="A26" s="37"/>
      <c r="B26" s="3" t="s">
        <v>37</v>
      </c>
      <c r="C26" s="1">
        <f>(C24-I4)/I5*I37+I36</f>
        <v>1</v>
      </c>
      <c r="D26" s="1">
        <f>(D24-J4)/J5*J37+J36</f>
        <v>10</v>
      </c>
      <c r="E26" s="1">
        <f>(E24-K4)/K5*K37+K36</f>
        <v>50</v>
      </c>
      <c r="F26" s="1">
        <f>(F24-K4)/K5*L37+L36</f>
        <v>95.997647058823546</v>
      </c>
      <c r="G26" s="1">
        <f>(G24-L4)/L5*L37+L36</f>
        <v>300</v>
      </c>
      <c r="H26" s="1">
        <f t="shared" ref="H26:O26" si="0">(H24-M4)/M5*M37+M36</f>
        <v>1000</v>
      </c>
      <c r="I26" s="1">
        <f t="shared" si="0"/>
        <v>3000</v>
      </c>
      <c r="J26" s="1">
        <f t="shared" si="0"/>
        <v>10000</v>
      </c>
      <c r="K26" s="1">
        <f t="shared" si="0"/>
        <v>100000</v>
      </c>
      <c r="L26" s="1">
        <f t="shared" si="0"/>
        <v>1000000</v>
      </c>
      <c r="M26" s="1">
        <f t="shared" si="0"/>
        <v>9999999.9999999981</v>
      </c>
      <c r="N26" s="1">
        <f t="shared" si="0"/>
        <v>100000000</v>
      </c>
      <c r="O26" s="1">
        <f t="shared" si="0"/>
        <v>400000000</v>
      </c>
      <c r="Z26" s="15"/>
    </row>
    <row r="27" spans="1:26" x14ac:dyDescent="0.15">
      <c r="A27" s="5"/>
      <c r="Z27" s="15"/>
    </row>
    <row r="28" spans="1:26" x14ac:dyDescent="0.15">
      <c r="A28" s="5"/>
      <c r="C28" s="54" t="s">
        <v>57</v>
      </c>
      <c r="D28" s="54"/>
      <c r="E28" s="54"/>
      <c r="F28" s="54"/>
      <c r="Z28" s="15"/>
    </row>
    <row r="29" spans="1:26" x14ac:dyDescent="0.15">
      <c r="A29" s="37" t="s">
        <v>58</v>
      </c>
      <c r="B29" s="3" t="s">
        <v>29</v>
      </c>
      <c r="C29" s="6" t="s">
        <v>59</v>
      </c>
      <c r="D29" s="6" t="s">
        <v>60</v>
      </c>
      <c r="E29" s="6" t="s">
        <v>61</v>
      </c>
      <c r="F29" s="6" t="s">
        <v>62</v>
      </c>
      <c r="Z29" s="15"/>
    </row>
    <row r="30" spans="1:26" x14ac:dyDescent="0.15">
      <c r="A30" s="37"/>
      <c r="B30" s="3" t="s">
        <v>34</v>
      </c>
      <c r="C30" s="7">
        <v>1</v>
      </c>
      <c r="D30" s="7">
        <v>2200</v>
      </c>
      <c r="E30" s="7">
        <v>22000</v>
      </c>
      <c r="F30" s="7">
        <v>47000</v>
      </c>
      <c r="Z30" s="15"/>
    </row>
    <row r="31" spans="1:26" x14ac:dyDescent="0.15">
      <c r="A31" s="37"/>
      <c r="B31" s="3" t="s">
        <v>35</v>
      </c>
      <c r="C31" s="8">
        <v>1</v>
      </c>
      <c r="D31" s="8">
        <v>2200</v>
      </c>
      <c r="E31" s="8">
        <v>22000</v>
      </c>
      <c r="F31" s="8">
        <v>47000</v>
      </c>
      <c r="Z31" s="15"/>
    </row>
    <row r="32" spans="1:26" x14ac:dyDescent="0.15">
      <c r="A32" s="37" t="s">
        <v>36</v>
      </c>
      <c r="Z32" s="15"/>
    </row>
    <row r="33" spans="1:26" x14ac:dyDescent="0.15">
      <c r="A33" s="37"/>
      <c r="B33" s="3" t="s">
        <v>37</v>
      </c>
      <c r="C33" s="1">
        <f>(C31-U4)/U5*U37+U36</f>
        <v>1</v>
      </c>
      <c r="D33" s="1">
        <f>(D31-V4)/V5*V37+V36</f>
        <v>2200</v>
      </c>
      <c r="E33" s="1">
        <f>(E31-W4)/W5*W37+W36</f>
        <v>22000</v>
      </c>
      <c r="F33" s="1">
        <f>(F31-W4)/W5*W37+W36</f>
        <v>47000</v>
      </c>
      <c r="Z33" s="15"/>
    </row>
    <row r="34" spans="1:26" x14ac:dyDescent="0.15">
      <c r="A34" s="5"/>
      <c r="Z34" s="15"/>
    </row>
    <row r="35" spans="1:26" x14ac:dyDescent="0.15">
      <c r="A35" s="37" t="s">
        <v>63</v>
      </c>
      <c r="C35" s="3" t="s">
        <v>1</v>
      </c>
      <c r="D35" s="3" t="s">
        <v>2</v>
      </c>
      <c r="E35" s="3" t="s">
        <v>3</v>
      </c>
      <c r="F35" s="3" t="s">
        <v>4</v>
      </c>
      <c r="G35" s="3" t="s">
        <v>5</v>
      </c>
      <c r="H35" s="3" t="s">
        <v>6</v>
      </c>
      <c r="I35" s="3" t="s">
        <v>7</v>
      </c>
      <c r="J35" s="3" t="s">
        <v>8</v>
      </c>
      <c r="K35" s="3" t="s">
        <v>9</v>
      </c>
      <c r="L35" s="3" t="s">
        <v>10</v>
      </c>
      <c r="M35" s="3" t="s">
        <v>11</v>
      </c>
      <c r="N35" s="3" t="s">
        <v>12</v>
      </c>
      <c r="O35" s="3" t="s">
        <v>13</v>
      </c>
      <c r="P35" s="3" t="s">
        <v>14</v>
      </c>
      <c r="Q35" s="3" t="s">
        <v>15</v>
      </c>
      <c r="R35" s="3" t="s">
        <v>16</v>
      </c>
      <c r="S35" s="3" t="s">
        <v>17</v>
      </c>
      <c r="T35" s="3" t="s">
        <v>18</v>
      </c>
      <c r="U35" s="3" t="s">
        <v>19</v>
      </c>
      <c r="V35" s="3" t="s">
        <v>20</v>
      </c>
      <c r="W35" s="3" t="s">
        <v>21</v>
      </c>
      <c r="X35" s="3" t="s">
        <v>22</v>
      </c>
      <c r="Y35" s="3" t="s">
        <v>23</v>
      </c>
      <c r="Z35" s="15" t="s">
        <v>24</v>
      </c>
    </row>
    <row r="36" spans="1:26" ht="28.15" customHeight="1" x14ac:dyDescent="0.15">
      <c r="A36" s="37"/>
      <c r="B36" s="3" t="s">
        <v>25</v>
      </c>
      <c r="C36" s="9">
        <f>C9-(C10-C4)/C5*C37</f>
        <v>3.36</v>
      </c>
      <c r="D36" s="9">
        <f>D9-(D10-D4)/D5*D37</f>
        <v>24.370000000000005</v>
      </c>
      <c r="E36" s="9">
        <f>E9-(E10-E4)/E5*E37</f>
        <v>273.25</v>
      </c>
      <c r="F36" s="9">
        <f>C16-(C17-F4)/F5*F37</f>
        <v>-12.72</v>
      </c>
      <c r="G36" s="9">
        <f>D16-(D17-G4)/G5*G37</f>
        <v>-8.8499999999999801</v>
      </c>
      <c r="H36" s="9">
        <f>E16-(E17-H4)/H5*H37</f>
        <v>-688.01000000000022</v>
      </c>
      <c r="I36" s="9">
        <f>C23-(C24-I4)/I5*I37</f>
        <v>-4.9000000000000004</v>
      </c>
      <c r="J36" s="9">
        <f t="shared" ref="J36:T36" si="1">D23-(D24-J4)/J5*J37</f>
        <v>-5.990000000000002</v>
      </c>
      <c r="K36" s="9">
        <f t="shared" si="1"/>
        <v>-20.960000000000008</v>
      </c>
      <c r="L36" s="9">
        <f t="shared" si="1"/>
        <v>-2.5999999999999659</v>
      </c>
      <c r="M36" s="9">
        <f t="shared" si="1"/>
        <v>-11.339999999999975</v>
      </c>
      <c r="N36" s="9">
        <f t="shared" si="1"/>
        <v>-10.17999999999995</v>
      </c>
      <c r="O36" s="9">
        <f t="shared" si="1"/>
        <v>-49.659999999998945</v>
      </c>
      <c r="P36" s="9">
        <f t="shared" si="1"/>
        <v>21.719999999999345</v>
      </c>
      <c r="Q36" s="9">
        <f t="shared" si="1"/>
        <v>4425.6699999999983</v>
      </c>
      <c r="R36" s="9">
        <f t="shared" si="1"/>
        <v>-93556.507999999914</v>
      </c>
      <c r="S36" s="9">
        <f t="shared" si="1"/>
        <v>420479.96900000051</v>
      </c>
      <c r="T36" s="9">
        <f t="shared" si="1"/>
        <v>26107918</v>
      </c>
      <c r="U36" s="9">
        <f>C30-(C31-U4)/U5*U37</f>
        <v>0</v>
      </c>
      <c r="V36" s="9">
        <f>D30-(D31-V4)/V5*V37</f>
        <v>0</v>
      </c>
      <c r="W36" s="9">
        <f>E30-(E31-W4)/W5*W37</f>
        <v>0</v>
      </c>
      <c r="X36" s="14">
        <v>0</v>
      </c>
      <c r="Y36" s="14">
        <v>0</v>
      </c>
      <c r="Z36" s="16">
        <v>0</v>
      </c>
    </row>
    <row r="37" spans="1:26" ht="28.15" customHeight="1" x14ac:dyDescent="0.15">
      <c r="A37" s="37"/>
      <c r="B37" s="3" t="s">
        <v>26</v>
      </c>
      <c r="C37" s="9">
        <f>(D9-C9)/((D10-C4)/C5-(C10-C4)/C5)</f>
        <v>1.05</v>
      </c>
      <c r="D37" s="9">
        <f>(E9-D9)/((E10-D4)/D5-(D10-D4)/D5)</f>
        <v>0.99</v>
      </c>
      <c r="E37" s="9">
        <f>(F9-E9)/((F10-E4)/E5-(E10-E4)/E5)</f>
        <v>0.96</v>
      </c>
      <c r="F37" s="9">
        <f>(D16-C16)/((D17-F4)/F5-(C17-F4)/F5)</f>
        <v>0.96</v>
      </c>
      <c r="G37" s="9">
        <f>(E16-D16)/((E17-G4)/G5-(D17-G4)/G5)</f>
        <v>0.92999999999999994</v>
      </c>
      <c r="H37" s="9">
        <f>(F16-E16)/((F17-H4)/H5-(E17-H4)/H5)</f>
        <v>1.02</v>
      </c>
      <c r="I37" s="9">
        <f>(D23-C23)/((D24-I4)/I5-(C24-I4)/I5)</f>
        <v>0.87</v>
      </c>
      <c r="J37" s="9">
        <f t="shared" ref="J37:T37" si="2">(E23-D23)/((E24-J4)/J5-(D24-J4)/J5)</f>
        <v>0.88</v>
      </c>
      <c r="K37" s="9">
        <f t="shared" si="2"/>
        <v>1.19</v>
      </c>
      <c r="L37" s="9">
        <f t="shared" si="2"/>
        <v>0.96999999999999975</v>
      </c>
      <c r="M37" s="9">
        <f t="shared" si="2"/>
        <v>1</v>
      </c>
      <c r="N37" s="9">
        <f t="shared" si="2"/>
        <v>1</v>
      </c>
      <c r="O37" s="9">
        <f t="shared" si="2"/>
        <v>1.0099999999999998</v>
      </c>
      <c r="P37" s="9">
        <f t="shared" si="2"/>
        <v>1</v>
      </c>
      <c r="Q37" s="9">
        <f t="shared" si="2"/>
        <v>0.96</v>
      </c>
      <c r="R37" s="9">
        <f t="shared" si="2"/>
        <v>1.06</v>
      </c>
      <c r="S37" s="9">
        <f t="shared" si="2"/>
        <v>1.1100000000000001</v>
      </c>
      <c r="T37" s="9">
        <f t="shared" si="2"/>
        <v>0.82</v>
      </c>
      <c r="U37" s="9">
        <f>(D30-C30)/((D31-U4)/U5-(C31-U4)/U5)</f>
        <v>1</v>
      </c>
      <c r="V37" s="9">
        <f>(E30-D30)/((E31-V4)/V5-(D31-V4)/V5)</f>
        <v>1</v>
      </c>
      <c r="W37" s="9">
        <f>(F30-E30)/((F31-W4)/W5-(E31-W4)/W5)</f>
        <v>1</v>
      </c>
      <c r="X37" s="14">
        <v>1</v>
      </c>
      <c r="Y37" s="14">
        <v>1</v>
      </c>
      <c r="Z37" s="16">
        <v>1</v>
      </c>
    </row>
    <row r="38" spans="1:26" x14ac:dyDescent="0.15">
      <c r="A38" s="5"/>
      <c r="Z38" s="15"/>
    </row>
    <row r="39" spans="1:26" x14ac:dyDescent="0.15">
      <c r="A39" s="5"/>
      <c r="Z39" s="15"/>
    </row>
    <row r="40" spans="1:26" x14ac:dyDescent="0.15">
      <c r="A40" s="5"/>
      <c r="B40" s="10" t="s">
        <v>64</v>
      </c>
      <c r="C40" s="56" t="s">
        <v>65</v>
      </c>
      <c r="D40" s="56"/>
      <c r="E40" s="56"/>
      <c r="F40" s="57"/>
      <c r="Z40" s="15"/>
    </row>
    <row r="41" spans="1:26" x14ac:dyDescent="0.15">
      <c r="A41" s="5"/>
      <c r="B41" s="38"/>
      <c r="C41" s="28" t="s">
        <v>66</v>
      </c>
      <c r="D41" s="29"/>
      <c r="E41" s="29"/>
      <c r="F41" s="30"/>
      <c r="Z41" s="15"/>
    </row>
    <row r="42" spans="1:26" x14ac:dyDescent="0.15">
      <c r="A42" s="5"/>
      <c r="B42" s="38"/>
      <c r="C42" s="31"/>
      <c r="D42" s="32"/>
      <c r="E42" s="32"/>
      <c r="F42" s="33"/>
      <c r="Z42" s="15"/>
    </row>
    <row r="43" spans="1:26" x14ac:dyDescent="0.15">
      <c r="A43" s="5"/>
      <c r="B43" s="39"/>
      <c r="C43" s="28" t="s">
        <v>67</v>
      </c>
      <c r="D43" s="29"/>
      <c r="E43" s="29"/>
      <c r="F43" s="30"/>
      <c r="Z43" s="15"/>
    </row>
    <row r="44" spans="1:26" x14ac:dyDescent="0.15">
      <c r="A44" s="5"/>
      <c r="B44" s="39"/>
      <c r="C44" s="31"/>
      <c r="D44" s="32"/>
      <c r="E44" s="32"/>
      <c r="F44" s="33"/>
      <c r="Z44" s="15"/>
    </row>
    <row r="45" spans="1:26" x14ac:dyDescent="0.15">
      <c r="A45" s="5"/>
      <c r="B45" s="40"/>
      <c r="C45" s="28" t="s">
        <v>68</v>
      </c>
      <c r="D45" s="29"/>
      <c r="E45" s="29"/>
      <c r="F45" s="30"/>
      <c r="Z45" s="15"/>
    </row>
    <row r="46" spans="1:26" ht="52.15" customHeight="1" x14ac:dyDescent="0.15">
      <c r="A46" s="5"/>
      <c r="B46" s="40"/>
      <c r="C46" s="31"/>
      <c r="D46" s="32"/>
      <c r="E46" s="32"/>
      <c r="F46" s="33"/>
      <c r="Z46" s="15"/>
    </row>
    <row r="47" spans="1:26" x14ac:dyDescent="0.15">
      <c r="A47" s="5"/>
      <c r="B47" s="41"/>
      <c r="C47" s="28" t="s">
        <v>69</v>
      </c>
      <c r="D47" s="29"/>
      <c r="E47" s="29"/>
      <c r="F47" s="30"/>
      <c r="Z47" s="15"/>
    </row>
    <row r="48" spans="1:26" x14ac:dyDescent="0.15">
      <c r="A48" s="5"/>
      <c r="B48" s="41"/>
      <c r="C48" s="31"/>
      <c r="D48" s="32"/>
      <c r="E48" s="32"/>
      <c r="F48" s="33"/>
      <c r="Z48" s="15"/>
    </row>
    <row r="49" spans="1:26" x14ac:dyDescent="0.15">
      <c r="A49" s="5"/>
      <c r="B49" s="25"/>
      <c r="C49" s="28" t="s">
        <v>70</v>
      </c>
      <c r="D49" s="29"/>
      <c r="E49" s="29"/>
      <c r="F49" s="30"/>
      <c r="Z49" s="15"/>
    </row>
    <row r="50" spans="1:26" ht="37.15" customHeight="1" x14ac:dyDescent="0.15">
      <c r="A50" s="5"/>
      <c r="B50" s="25"/>
      <c r="C50" s="31"/>
      <c r="D50" s="32"/>
      <c r="E50" s="32"/>
      <c r="F50" s="33"/>
      <c r="Z50" s="15"/>
    </row>
    <row r="51" spans="1:26" x14ac:dyDescent="0.15">
      <c r="A51" s="5"/>
      <c r="B51" s="26"/>
      <c r="C51" s="28" t="s">
        <v>71</v>
      </c>
      <c r="D51" s="29"/>
      <c r="E51" s="29"/>
      <c r="F51" s="30"/>
      <c r="Z51" s="15"/>
    </row>
    <row r="52" spans="1:26" ht="34.9" customHeight="1" x14ac:dyDescent="0.15">
      <c r="A52" s="5"/>
      <c r="B52" s="27"/>
      <c r="C52" s="34"/>
      <c r="D52" s="35"/>
      <c r="E52" s="35"/>
      <c r="F52" s="36"/>
      <c r="Z52" s="15"/>
    </row>
    <row r="53" spans="1:26" ht="18" thickBot="1" x14ac:dyDescent="0.2">
      <c r="A53" s="5"/>
      <c r="Z53" s="15"/>
    </row>
    <row r="54" spans="1:26" x14ac:dyDescent="0.15">
      <c r="A54" s="5"/>
      <c r="B54" s="58" t="s">
        <v>72</v>
      </c>
      <c r="C54" s="59"/>
      <c r="D54" s="59"/>
      <c r="E54" s="59"/>
      <c r="F54" s="59"/>
      <c r="G54" s="59"/>
      <c r="H54" s="60"/>
      <c r="J54" s="58" t="s">
        <v>73</v>
      </c>
      <c r="K54" s="59"/>
      <c r="L54" s="59"/>
      <c r="M54" s="59"/>
      <c r="N54" s="59"/>
      <c r="O54" s="59"/>
      <c r="P54" s="59"/>
      <c r="Q54" s="59"/>
      <c r="R54" s="59"/>
      <c r="S54" s="60"/>
      <c r="Z54" s="15"/>
    </row>
    <row r="55" spans="1:26" x14ac:dyDescent="0.15">
      <c r="A55" s="5"/>
      <c r="B55" s="45" t="s">
        <v>75</v>
      </c>
      <c r="C55" s="46"/>
      <c r="D55" s="46"/>
      <c r="E55" s="46"/>
      <c r="F55" s="46"/>
      <c r="G55" s="46"/>
      <c r="H55" s="47"/>
      <c r="J55" s="45" t="s">
        <v>80</v>
      </c>
      <c r="K55" s="46"/>
      <c r="L55" s="46"/>
      <c r="M55" s="46"/>
      <c r="N55" s="46"/>
      <c r="O55" s="46"/>
      <c r="P55" s="46"/>
      <c r="Q55" s="46"/>
      <c r="R55" s="46"/>
      <c r="S55" s="47"/>
      <c r="Z55" s="15"/>
    </row>
    <row r="56" spans="1:26" x14ac:dyDescent="0.15">
      <c r="A56" s="5"/>
      <c r="B56" s="45" t="s">
        <v>76</v>
      </c>
      <c r="C56" s="46"/>
      <c r="D56" s="46"/>
      <c r="E56" s="46"/>
      <c r="F56" s="46"/>
      <c r="G56" s="46"/>
      <c r="H56" s="47"/>
      <c r="J56" s="45" t="s">
        <v>81</v>
      </c>
      <c r="K56" s="46"/>
      <c r="L56" s="46"/>
      <c r="M56" s="46"/>
      <c r="N56" s="46"/>
      <c r="O56" s="46"/>
      <c r="P56" s="46"/>
      <c r="Q56" s="46"/>
      <c r="R56" s="46"/>
      <c r="S56" s="47"/>
      <c r="Z56" s="15"/>
    </row>
    <row r="57" spans="1:26" s="20" customFormat="1" x14ac:dyDescent="0.15">
      <c r="A57" s="5"/>
      <c r="B57" s="45" t="s">
        <v>77</v>
      </c>
      <c r="C57" s="46"/>
      <c r="D57" s="46"/>
      <c r="E57" s="46"/>
      <c r="F57" s="46"/>
      <c r="G57" s="46"/>
      <c r="H57" s="47"/>
      <c r="J57" s="45" t="s">
        <v>82</v>
      </c>
      <c r="K57" s="46"/>
      <c r="L57" s="46"/>
      <c r="M57" s="46"/>
      <c r="N57" s="46"/>
      <c r="O57" s="46"/>
      <c r="P57" s="46"/>
      <c r="Q57" s="46"/>
      <c r="R57" s="46"/>
      <c r="S57" s="47"/>
      <c r="Z57" s="15"/>
    </row>
    <row r="58" spans="1:26" x14ac:dyDescent="0.15">
      <c r="A58" s="5"/>
      <c r="B58" s="45" t="s">
        <v>78</v>
      </c>
      <c r="C58" s="46"/>
      <c r="D58" s="46"/>
      <c r="E58" s="46"/>
      <c r="F58" s="46"/>
      <c r="G58" s="46"/>
      <c r="H58" s="47"/>
      <c r="J58" s="45" t="s">
        <v>83</v>
      </c>
      <c r="K58" s="46"/>
      <c r="L58" s="46"/>
      <c r="M58" s="46"/>
      <c r="N58" s="46"/>
      <c r="O58" s="46"/>
      <c r="P58" s="46"/>
      <c r="Q58" s="46"/>
      <c r="R58" s="46"/>
      <c r="S58" s="47"/>
      <c r="Z58" s="15"/>
    </row>
    <row r="59" spans="1:26" ht="18" thickBot="1" x14ac:dyDescent="0.2">
      <c r="A59" s="5"/>
      <c r="B59" s="42" t="s">
        <v>79</v>
      </c>
      <c r="C59" s="43"/>
      <c r="D59" s="43"/>
      <c r="E59" s="43"/>
      <c r="F59" s="43"/>
      <c r="G59" s="43"/>
      <c r="H59" s="44"/>
      <c r="J59" s="42" t="s">
        <v>84</v>
      </c>
      <c r="K59" s="43"/>
      <c r="L59" s="43"/>
      <c r="M59" s="43"/>
      <c r="N59" s="43"/>
      <c r="O59" s="43"/>
      <c r="P59" s="43"/>
      <c r="Q59" s="43"/>
      <c r="R59" s="43"/>
      <c r="S59" s="44"/>
      <c r="Z59" s="15"/>
    </row>
    <row r="60" spans="1:26" ht="18" thickBot="1" x14ac:dyDescent="0.2">
      <c r="A60" s="11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9"/>
    </row>
  </sheetData>
  <sheetProtection algorithmName="SHA-512" hashValue="kO6Myj1DsYtYM3SiI6aWA71xhb/E4b9bT92JNYq40xLe7hAP1dmDkzqs7UtNZs2Lwdv0ovVdW4r4B0XxrahNgQ==" saltValue="AKCObdleXxFwqFoF9/46jQ==" spinCount="100000" sheet="1" objects="1" scenarios="1"/>
  <protectedRanges>
    <protectedRange sqref="C36:Z37" name="区域6"/>
    <protectedRange sqref="C31:F31" name="区域5"/>
    <protectedRange sqref="C24:O24" name="区域4"/>
    <protectedRange sqref="C17:F17" name="区域3"/>
    <protectedRange sqref="C10:F10" name="区域2"/>
    <protectedRange sqref="C4:Z5" name="区域1"/>
  </protectedRanges>
  <mergeCells count="40">
    <mergeCell ref="J57:S57"/>
    <mergeCell ref="J56:S56"/>
    <mergeCell ref="J58:S58"/>
    <mergeCell ref="J59:S59"/>
    <mergeCell ref="J54:S54"/>
    <mergeCell ref="B54:H54"/>
    <mergeCell ref="B55:H55"/>
    <mergeCell ref="B56:H56"/>
    <mergeCell ref="B57:H57"/>
    <mergeCell ref="B58:H58"/>
    <mergeCell ref="B59:H59"/>
    <mergeCell ref="J55:S55"/>
    <mergeCell ref="A1:Z2"/>
    <mergeCell ref="C41:F42"/>
    <mergeCell ref="C43:F44"/>
    <mergeCell ref="C45:F46"/>
    <mergeCell ref="C47:F48"/>
    <mergeCell ref="C7:F7"/>
    <mergeCell ref="C14:F14"/>
    <mergeCell ref="C21:O21"/>
    <mergeCell ref="C28:F28"/>
    <mergeCell ref="C40:F40"/>
    <mergeCell ref="A3:A5"/>
    <mergeCell ref="A8:A10"/>
    <mergeCell ref="A11:A12"/>
    <mergeCell ref="A15:A17"/>
    <mergeCell ref="A18:A19"/>
    <mergeCell ref="A22:A24"/>
    <mergeCell ref="A25:A26"/>
    <mergeCell ref="A29:A31"/>
    <mergeCell ref="A32:A33"/>
    <mergeCell ref="B49:B50"/>
    <mergeCell ref="B51:B52"/>
    <mergeCell ref="C49:F50"/>
    <mergeCell ref="C51:F52"/>
    <mergeCell ref="A35:A37"/>
    <mergeCell ref="B41:B42"/>
    <mergeCell ref="B43:B44"/>
    <mergeCell ref="B45:B46"/>
    <mergeCell ref="B47:B48"/>
  </mergeCells>
  <phoneticPr fontId="3" type="noConversion"/>
  <pageMargins left="0.75" right="0.75" top="1" bottom="1" header="0.5" footer="0.5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>
    <arrUserId title="区域3" rangeCreator="" othersAccessPermission="edit"/>
    <arrUserId title="区域2" rangeCreator="" othersAccessPermission="edit"/>
    <arrUserId title="区域1" rangeCreator="" othersAccessPermission="edit"/>
  </rangeList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用户校准附表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gh</cp:lastModifiedBy>
  <dcterms:created xsi:type="dcterms:W3CDTF">2020-07-27T03:51:00Z</dcterms:created>
  <dcterms:modified xsi:type="dcterms:W3CDTF">2022-11-04T03:30:09Z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2052-11.1.0.11372</vt:lpwstr>
  </property>
  <property fmtid="{D5CDD505-2E9C-101B-9397-08002B2CF9AE}" pid="3" name="KSOReadingLayout">
    <vt:bool>false</vt:bool>
  </property>
  <property fmtid="{D5CDD505-2E9C-101B-9397-08002B2CF9AE}" pid="4" name="ICV">
    <vt:lpwstr>43CE56A4E22B47319B1AEB6EFFA65538</vt:lpwstr>
  </property>
</Properties>
</file>